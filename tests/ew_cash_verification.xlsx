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Prices" sheetId="2" r:id="rId5"/>
    <sheet state="visible" name="Strategy" sheetId="3" r:id="rId6"/>
    <sheet state="visible" name="Comparison" sheetId="4" r:id="rId7"/>
  </sheets>
  <definedNames/>
  <calcPr/>
  <extLst>
    <ext uri="GoogleSheetsCustomDataVersion2">
      <go:sheetsCustomData xmlns:go="http://customooxmlschemas.google.com/" r:id="rId8" roundtripDataChecksum="uPQ4t1btDwASZvuN/tEni0BA0aAiDVip9Z86BxUi+uw="/>
    </ext>
  </extLst>
</workbook>
</file>

<file path=xl/sharedStrings.xml><?xml version="1.0" encoding="utf-8"?>
<sst xmlns="http://schemas.openxmlformats.org/spreadsheetml/2006/main" count="75" uniqueCount="73">
  <si>
    <t>EW-Cash Strategy Verification Spreadsheet</t>
  </si>
  <si>
    <t>Purpose: Manually verify the backtesting pipeline by computing EW-cash</t>
  </si>
  <si>
    <t>returns for 12 months and comparing against pipeline output.</t>
  </si>
  <si>
    <t>How to use:</t>
  </si>
  <si>
    <t>1. Go to the 'Prices' sheet. Fill in monthly close prices for SPY, TLT, GLD, SHY.</t>
  </si>
  <si>
    <t xml:space="preserve">   Use the close price on the LAST TRADING DAY of each month.</t>
  </si>
  <si>
    <t xml:space="preserve">   Also fill in the 200-day SMA for SPY, TLT, GLD on that same date.</t>
  </si>
  <si>
    <t xml:space="preserve">   You can get these from Yahoo Finance or your pipeline's data cache.</t>
  </si>
  <si>
    <t>2. Go to the 'Strategy' sheet. All formulas are pre-built.</t>
  </si>
  <si>
    <t xml:space="preserve">   Check that the filter signals (above/below 200dma) match your expectations.</t>
  </si>
  <si>
    <t xml:space="preserve">   Check that weights are 0.3333 when above, 0.0 when below.</t>
  </si>
  <si>
    <t xml:space="preserve">   Check that cash weight = 1 - sum of asset weights.</t>
  </si>
  <si>
    <t>3. Go to the 'Comparison' sheet. Paste your pipeline's monthly equity values.</t>
  </si>
  <si>
    <t xml:space="preserve">   The sheet computes the difference. If max difference is &lt; 1%, the pipeline is correct.</t>
  </si>
  <si>
    <t>Period: Jan 2024 - Dec 2024 (12 months)</t>
  </si>
  <si>
    <t>Initial capital: $200,000</t>
  </si>
  <si>
    <t>Strategy: EW-cash (33/33/33, exit to cash, no momentum)</t>
  </si>
  <si>
    <t>Cash vehicle: SHY</t>
  </si>
  <si>
    <t>BLUE cells = you fill in (inputs)</t>
  </si>
  <si>
    <t>BLACK cells = formulas (don't edit)</t>
  </si>
  <si>
    <t>Month</t>
  </si>
  <si>
    <t>Date (last trading day)</t>
  </si>
  <si>
    <t>SPY Close</t>
  </si>
  <si>
    <t>TLT Close</t>
  </si>
  <si>
    <t>GLD Close</t>
  </si>
  <si>
    <t>SHY Close</t>
  </si>
  <si>
    <t>SPY 200dma</t>
  </si>
  <si>
    <t>TLT 200dma</t>
  </si>
  <si>
    <t>GLD 200dma</t>
  </si>
  <si>
    <t>Dec 2023 (prior)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</si>
  <si>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</si>
  <si>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</si>
  <si>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</si>
  <si>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</si>
  <si>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</si>
  <si>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</si>
  <si>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</si>
  <si>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</si>
  <si>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</si>
  <si>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</si>
  <si>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</si>
  <si>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</si>
  <si>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Note: Dec 2023 row is needed to compute Jan 2024 returns.</t>
  </si>
  <si>
    <t>Note: 200dma values only needed for Jan-Dec 2024 (rows 3-14), not Dec 2023.</t>
  </si>
  <si>
    <t>SPY Return</t>
  </si>
  <si>
    <t>TLT Return</t>
  </si>
  <si>
    <t>GLD Return</t>
  </si>
  <si>
    <t>SHY Return</t>
  </si>
  <si>
    <t>SPY &gt; 200dma?</t>
  </si>
  <si>
    <t>TLT &gt; 200dma?</t>
  </si>
  <si>
    <t>GLD &gt; 200dma?</t>
  </si>
  <si>
    <t>SPY Weight</t>
  </si>
  <si>
    <t>TLT Weight</t>
  </si>
  <si>
    <t>GLD Weight</t>
  </si>
  <si>
    <t>Cash Weight</t>
  </si>
  <si>
    <t>Portfolio Return</t>
  </si>
  <si>
    <t>Equity</t>
  </si>
  <si>
    <t>Formula logic:</t>
  </si>
  <si>
    <t>(Close - Prior Close) / Prior Close</t>
  </si>
  <si>
    <t>Close &gt; 200dma? TRUE/FALSE</t>
  </si>
  <si>
    <t>1/3 if above 200dma, else 0</t>
  </si>
  <si>
    <t>1 - sum(asset weights)</t>
  </si>
  <si>
    <t>sum(weight * return)</t>
  </si>
  <si>
    <t>prior equity * (1 + return)</t>
  </si>
  <si>
    <t>Dec 2023 (signal)</t>
  </si>
  <si>
    <t>Spreadsheet Equity</t>
  </si>
  <si>
    <t>Pipeline Equity</t>
  </si>
  <si>
    <t>Difference ($)</t>
  </si>
  <si>
    <t>Difference (%)</t>
  </si>
  <si>
    <t>Max Abs Difference (%)</t>
  </si>
  <si>
    <t>Verdict</t>
  </si>
  <si>
    <t>Note: Differences (&lt;1%) are expected from daily vs monthly compounding, slippage (2 bps in pipeline, none in spreadsheet), and intra-month weight drift. Differences &gt;2% indicate a bug.</t>
  </si>
  <si>
    <t>Pipeline equity must be rebased to $200K: multiply each value by 200000 / (Dec 2023 equity) before pasting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</si>
</sst>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0.0000"/>
    <numFmt numFmtId="166" formatCode="\$#,##0.00"/>
    <numFmt numFmtId="167" formatCode="&quot;$&quot;#,##0.00"/>
    <numFmt numFmtId="168" formatCode="0.000%"/>
  </numFmts>
  <fonts count="8">
    <font>
      <sz val="11.0"/>
      <color theme="1"/>
      <name val="Calibri"/>
      <scheme val="minor"/>
    </font>
    <font>
      <b/>
      <sz val="12.0"/>
      <color theme="1"/>
      <name val="Cambria"/>
    </font>
    <font>
      <sz val="11.0"/>
      <color theme="1"/>
      <name val="Cambria"/>
    </font>
    <font>
      <b/>
      <sz val="11.0"/>
      <color theme="1"/>
      <name val="Cambria"/>
    </font>
    <font>
      <sz val="11.0"/>
      <color rgb="FF000000"/>
      <name val="Cambria"/>
    </font>
    <font>
      <sz val="11.0"/>
      <color rgb="FF0000FF"/>
      <name val="Cambria"/>
    </font>
    <font>
      <i/>
      <sz val="10.0"/>
      <color theme="1"/>
      <name val="Cambria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FFFFCC"/>
        <bgColor rgb="FFFFFF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1" fillId="2" fontId="3" numFmtId="0" xfId="0" applyAlignment="1" applyBorder="1" applyFill="1" applyFont="1">
      <alignment horizontal="center" shrinkToFit="0" vertical="bottom" wrapText="1"/>
    </xf>
    <xf borderId="1" fillId="0" fontId="4" numFmtId="0" xfId="0" applyAlignment="1" applyBorder="1" applyFont="1">
      <alignment shrinkToFit="0" vertical="bottom" wrapText="0"/>
    </xf>
    <xf borderId="1" fillId="3" fontId="5" numFmtId="164" xfId="0" applyAlignment="1" applyBorder="1" applyFill="1" applyFont="1" applyNumberFormat="1">
      <alignment readingOrder="0" shrinkToFit="0" vertical="bottom" wrapText="0"/>
    </xf>
    <xf borderId="1" fillId="3" fontId="5" numFmtId="4" xfId="0" applyAlignment="1" applyBorder="1" applyFont="1" applyNumberFormat="1">
      <alignment readingOrder="0" shrinkToFit="0" vertical="bottom" wrapText="0"/>
    </xf>
    <xf borderId="1" fillId="3" fontId="5" numFmtId="4" xfId="0" applyAlignment="1" applyBorder="1" applyFont="1" applyNumberFormat="1">
      <alignment shrinkToFit="0" vertical="bottom" wrapText="0"/>
    </xf>
    <xf borderId="1" fillId="3" fontId="5" numFmtId="0" xfId="0" applyAlignment="1" applyBorder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10" xfId="0" applyAlignment="1" applyFont="1" applyNumberFormat="1">
      <alignment shrinkToFit="0" vertical="bottom" wrapText="0"/>
    </xf>
    <xf borderId="0" fillId="0" fontId="4" numFmtId="165" xfId="0" applyAlignment="1" applyFont="1" applyNumberFormat="1">
      <alignment shrinkToFit="0" vertical="bottom" wrapText="0"/>
    </xf>
    <xf borderId="0" fillId="0" fontId="4" numFmtId="166" xfId="0" applyAlignment="1" applyFont="1" applyNumberFormat="1">
      <alignment shrinkToFit="0" vertical="bottom" wrapText="0"/>
    </xf>
    <xf borderId="1" fillId="0" fontId="4" numFmtId="10" xfId="0" applyAlignment="1" applyBorder="1" applyFont="1" applyNumberFormat="1">
      <alignment shrinkToFit="0" vertical="bottom" wrapText="0"/>
    </xf>
    <xf borderId="1" fillId="0" fontId="4" numFmtId="165" xfId="0" applyAlignment="1" applyBorder="1" applyFont="1" applyNumberFormat="1">
      <alignment shrinkToFit="0" vertical="bottom" wrapText="0"/>
    </xf>
    <xf borderId="1" fillId="0" fontId="4" numFmtId="166" xfId="0" applyAlignment="1" applyBorder="1" applyFont="1" applyNumberFormat="1">
      <alignment shrinkToFit="0" vertical="bottom" wrapText="0"/>
    </xf>
    <xf borderId="1" fillId="0" fontId="4" numFmtId="167" xfId="0" applyAlignment="1" applyBorder="1" applyFont="1" applyNumberFormat="1">
      <alignment readingOrder="0" shrinkToFit="0" vertical="bottom" wrapText="0"/>
    </xf>
    <xf borderId="1" fillId="0" fontId="4" numFmtId="168" xfId="0" applyAlignment="1" applyBorder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7" numFmtId="10" xfId="0" applyFont="1" applyNumberFormat="1"/>
    <xf borderId="0" fillId="0" fontId="3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0.0"/>
    <col customWidth="1" min="2" max="26" width="8.71"/>
  </cols>
  <sheetData>
    <row r="1">
      <c r="A1" s="1" t="s">
        <v>0</v>
      </c>
    </row>
    <row r="2">
      <c r="A2" s="2"/>
    </row>
    <row r="3">
      <c r="A3" s="2" t="s">
        <v>1</v>
      </c>
    </row>
    <row r="4">
      <c r="A4" s="2" t="s">
        <v>2</v>
      </c>
    </row>
    <row r="5">
      <c r="A5" s="2"/>
    </row>
    <row r="6">
      <c r="A6" s="1" t="s">
        <v>3</v>
      </c>
    </row>
    <row r="7">
      <c r="A7" s="2" t="s">
        <v>4</v>
      </c>
    </row>
    <row r="8">
      <c r="A8" s="2" t="s">
        <v>5</v>
      </c>
    </row>
    <row r="9">
      <c r="A9" s="2" t="s">
        <v>6</v>
      </c>
    </row>
    <row r="10">
      <c r="A10" s="2" t="s">
        <v>7</v>
      </c>
    </row>
    <row r="11">
      <c r="A11" s="2"/>
    </row>
    <row r="12">
      <c r="A12" s="2" t="s">
        <v>8</v>
      </c>
    </row>
    <row r="13">
      <c r="A13" s="2" t="s">
        <v>9</v>
      </c>
    </row>
    <row r="14">
      <c r="A14" s="2" t="s">
        <v>10</v>
      </c>
    </row>
    <row r="15">
      <c r="A15" s="2" t="s">
        <v>11</v>
      </c>
    </row>
    <row r="16">
      <c r="A16" s="2"/>
    </row>
    <row r="17">
      <c r="A17" s="2" t="s">
        <v>12</v>
      </c>
    </row>
    <row r="18">
      <c r="A18" s="3" t="s">
        <v>13</v>
      </c>
    </row>
    <row r="19">
      <c r="A19" s="2"/>
    </row>
    <row r="20">
      <c r="A20" s="2" t="s">
        <v>14</v>
      </c>
    </row>
    <row r="21" ht="15.75" customHeight="1">
      <c r="A21" s="2" t="s">
        <v>15</v>
      </c>
    </row>
    <row r="22" ht="15.75" customHeight="1">
      <c r="A22" s="2" t="s">
        <v>16</v>
      </c>
    </row>
    <row r="23" ht="15.75" customHeight="1">
      <c r="A23" s="2" t="s">
        <v>17</v>
      </c>
    </row>
    <row r="24" ht="15.75" customHeight="1">
      <c r="A24" s="2"/>
    </row>
    <row r="25" ht="15.75" customHeight="1">
      <c r="A25" s="1" t="s">
        <v>18</v>
      </c>
    </row>
    <row r="26" ht="15.75" customHeight="1">
      <c r="A26" s="1" t="s">
        <v>19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2.0"/>
    <col customWidth="1" min="3" max="6" width="12.0"/>
    <col customWidth="1" min="7" max="9" width="14.0"/>
    <col customWidth="1" min="10" max="17" width="8.71"/>
  </cols>
  <sheetData>
    <row r="1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</row>
    <row r="2">
      <c r="A2" s="5" t="s">
        <v>29</v>
      </c>
      <c r="B2" s="6">
        <v>45289.0</v>
      </c>
      <c r="C2" s="7">
        <v>463.84</v>
      </c>
      <c r="D2" s="7">
        <v>90.59</v>
      </c>
      <c r="E2" s="7">
        <v>191.17</v>
      </c>
      <c r="F2" s="7">
        <v>75.71</v>
      </c>
      <c r="G2" s="8"/>
      <c r="H2" s="8"/>
      <c r="I2" s="8"/>
    </row>
    <row r="3">
      <c r="A3" s="5" t="s">
        <v>30</v>
      </c>
      <c r="B3" s="6">
        <v>45322.0</v>
      </c>
      <c r="C3" s="9">
        <v>471.23</v>
      </c>
      <c r="D3" s="9">
        <v>88.55</v>
      </c>
      <c r="E3" s="9">
        <v>188.45</v>
      </c>
      <c r="F3" s="9">
        <v>75.95</v>
      </c>
      <c r="G3" s="9">
        <v>429.13</v>
      </c>
      <c r="H3" s="9">
        <v>86.89</v>
      </c>
      <c r="I3" s="9">
        <v>182.35</v>
      </c>
    </row>
    <row r="4">
      <c r="A4" s="5" t="s">
        <v>31</v>
      </c>
      <c r="B4" s="6">
        <v>45351.0</v>
      </c>
      <c r="C4" s="9">
        <v>495.82</v>
      </c>
      <c r="D4" s="9">
        <v>86.56</v>
      </c>
      <c r="E4" s="9">
        <v>189.31</v>
      </c>
      <c r="F4" s="9">
        <v>75.66</v>
      </c>
      <c r="G4" s="9">
        <v>438.21</v>
      </c>
      <c r="H4" s="9">
        <v>86.15</v>
      </c>
      <c r="I4" s="9">
        <v>182.47</v>
      </c>
    </row>
    <row r="5">
      <c r="A5" s="5" t="s">
        <v>32</v>
      </c>
      <c r="B5" s="6">
        <v>45379.0</v>
      </c>
      <c r="C5" s="9">
        <v>512.04</v>
      </c>
      <c r="D5" s="9">
        <v>87.23</v>
      </c>
      <c r="E5" s="9">
        <v>205.72</v>
      </c>
      <c r="F5" s="9">
        <v>75.92</v>
      </c>
      <c r="G5" s="9">
        <v>448.01</v>
      </c>
      <c r="H5" s="9">
        <v>85.72</v>
      </c>
      <c r="I5" s="9">
        <v>184.23</v>
      </c>
    </row>
    <row r="6">
      <c r="A6" s="5" t="s">
        <v>33</v>
      </c>
      <c r="B6" s="6">
        <v>45412.0</v>
      </c>
      <c r="C6" s="9">
        <v>491.39</v>
      </c>
      <c r="D6" s="9">
        <v>81.6</v>
      </c>
      <c r="E6" s="9">
        <v>211.87</v>
      </c>
      <c r="F6" s="9">
        <v>75.58</v>
      </c>
      <c r="G6" s="9">
        <v>456.05</v>
      </c>
      <c r="H6" s="9">
        <v>84.82</v>
      </c>
      <c r="I6" s="9">
        <v>188.28</v>
      </c>
    </row>
    <row r="7">
      <c r="A7" s="5" t="s">
        <v>34</v>
      </c>
      <c r="B7" s="6">
        <v>45443.0</v>
      </c>
      <c r="C7" s="9">
        <v>516.25</v>
      </c>
      <c r="D7" s="9">
        <v>83.96</v>
      </c>
      <c r="E7" s="9">
        <v>215.3</v>
      </c>
      <c r="F7" s="9">
        <v>76.13</v>
      </c>
      <c r="G7" s="9">
        <v>464.23</v>
      </c>
      <c r="H7" s="9">
        <v>84.3</v>
      </c>
      <c r="I7" s="9">
        <v>192.35</v>
      </c>
    </row>
    <row r="8">
      <c r="A8" s="5" t="s">
        <v>35</v>
      </c>
      <c r="B8" s="6">
        <v>45471.0</v>
      </c>
      <c r="C8" s="9">
        <v>534.46</v>
      </c>
      <c r="D8" s="9">
        <v>85.48</v>
      </c>
      <c r="E8" s="9">
        <v>215.01</v>
      </c>
      <c r="F8" s="9">
        <v>76.54</v>
      </c>
      <c r="G8" s="9">
        <v>473.7</v>
      </c>
      <c r="H8" s="9">
        <v>84.44</v>
      </c>
      <c r="I8" s="9">
        <v>195.9</v>
      </c>
    </row>
    <row r="9">
      <c r="A9" s="5" t="s">
        <v>36</v>
      </c>
      <c r="B9" s="6">
        <v>45504.0</v>
      </c>
      <c r="C9" s="9">
        <v>540.93</v>
      </c>
      <c r="D9" s="9">
        <v>88.59</v>
      </c>
      <c r="E9" s="9">
        <v>226.55</v>
      </c>
      <c r="F9" s="9">
        <v>77.44</v>
      </c>
      <c r="G9" s="9">
        <v>487.03</v>
      </c>
      <c r="H9" s="9">
        <v>85.09</v>
      </c>
      <c r="I9" s="9">
        <v>201.07</v>
      </c>
    </row>
    <row r="10">
      <c r="A10" s="5" t="s">
        <v>37</v>
      </c>
      <c r="B10" s="6">
        <v>45534.0</v>
      </c>
      <c r="C10" s="9">
        <v>553.57</v>
      </c>
      <c r="D10" s="9">
        <v>90.46</v>
      </c>
      <c r="E10" s="9">
        <v>231.29</v>
      </c>
      <c r="F10" s="9">
        <v>78.13</v>
      </c>
      <c r="G10" s="9">
        <v>500.33</v>
      </c>
      <c r="H10" s="9">
        <v>86.56</v>
      </c>
      <c r="I10" s="9">
        <v>206.14</v>
      </c>
    </row>
    <row r="11">
      <c r="A11" s="5" t="s">
        <v>38</v>
      </c>
      <c r="B11" s="6">
        <v>45565.0</v>
      </c>
      <c r="C11" s="9">
        <v>565.2</v>
      </c>
      <c r="D11" s="9">
        <v>92.27</v>
      </c>
      <c r="E11" s="9">
        <v>243.06</v>
      </c>
      <c r="F11" s="9">
        <v>78.74</v>
      </c>
      <c r="G11" s="9">
        <v>511.21</v>
      </c>
      <c r="H11" s="9">
        <v>87.51</v>
      </c>
      <c r="I11" s="9">
        <v>211.32</v>
      </c>
    </row>
    <row r="12">
      <c r="A12" s="5" t="s">
        <v>39</v>
      </c>
      <c r="B12" s="6">
        <v>45596.0</v>
      </c>
      <c r="C12" s="9">
        <v>560.15</v>
      </c>
      <c r="D12" s="9">
        <v>87.23</v>
      </c>
      <c r="E12" s="9">
        <v>253.51</v>
      </c>
      <c r="F12" s="9">
        <v>78.25</v>
      </c>
      <c r="G12" s="9">
        <v>523.55</v>
      </c>
      <c r="H12" s="9">
        <v>87.41</v>
      </c>
      <c r="I12" s="9">
        <v>218.17</v>
      </c>
    </row>
    <row r="13">
      <c r="A13" s="5" t="s">
        <v>40</v>
      </c>
      <c r="B13" s="6">
        <v>45625.0</v>
      </c>
      <c r="C13" s="9">
        <v>593.56</v>
      </c>
      <c r="D13" s="9">
        <v>88.97</v>
      </c>
      <c r="E13" s="9">
        <v>245.59</v>
      </c>
      <c r="F13" s="9">
        <v>78.48</v>
      </c>
      <c r="G13" s="9">
        <v>533.94</v>
      </c>
      <c r="H13" s="9">
        <v>87.39</v>
      </c>
      <c r="I13" s="9">
        <v>223.89</v>
      </c>
    </row>
    <row r="14">
      <c r="A14" s="5" t="s">
        <v>41</v>
      </c>
      <c r="B14" s="6">
        <v>45657.0</v>
      </c>
      <c r="C14" s="9">
        <v>579.28</v>
      </c>
      <c r="D14" s="9">
        <v>83.29</v>
      </c>
      <c r="E14" s="9">
        <v>242.13</v>
      </c>
      <c r="F14" s="9">
        <v>78.68</v>
      </c>
      <c r="G14" s="9">
        <v>543.95</v>
      </c>
      <c r="H14" s="9">
        <v>87.34</v>
      </c>
      <c r="I14" s="9">
        <v>229.13</v>
      </c>
    </row>
    <row r="15">
      <c r="A15" s="10" t="s">
        <v>42</v>
      </c>
    </row>
    <row r="16">
      <c r="A16" s="10" t="s">
        <v>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2.0"/>
    <col customWidth="1" min="6" max="8" width="14.0"/>
    <col customWidth="1" min="9" max="12" width="12.0"/>
    <col customWidth="1" min="13" max="14" width="14.0"/>
    <col customWidth="1" min="15" max="26" width="8.71"/>
  </cols>
  <sheetData>
    <row r="1">
      <c r="A1" s="4" t="s">
        <v>20</v>
      </c>
      <c r="B1" s="4" t="s">
        <v>44</v>
      </c>
      <c r="C1" s="4" t="s">
        <v>45</v>
      </c>
      <c r="D1" s="4" t="s">
        <v>46</v>
      </c>
      <c r="E1" s="4" t="s">
        <v>47</v>
      </c>
      <c r="F1" s="4" t="s">
        <v>48</v>
      </c>
      <c r="G1" s="4" t="s">
        <v>49</v>
      </c>
      <c r="H1" s="4" t="s">
        <v>50</v>
      </c>
      <c r="I1" s="4" t="s">
        <v>51</v>
      </c>
      <c r="J1" s="4" t="s">
        <v>52</v>
      </c>
      <c r="K1" s="4" t="s">
        <v>53</v>
      </c>
      <c r="L1" s="4" t="s">
        <v>54</v>
      </c>
      <c r="M1" s="4" t="s">
        <v>55</v>
      </c>
      <c r="N1" s="4" t="s">
        <v>56</v>
      </c>
    </row>
    <row r="2">
      <c r="A2" s="10" t="s">
        <v>57</v>
      </c>
      <c r="B2" s="10" t="s">
        <v>58</v>
      </c>
      <c r="F2" s="10" t="s">
        <v>59</v>
      </c>
      <c r="I2" s="10" t="s">
        <v>60</v>
      </c>
      <c r="L2" s="10" t="s">
        <v>61</v>
      </c>
      <c r="M2" s="10" t="s">
        <v>62</v>
      </c>
      <c r="N2" s="10" t="s">
        <v>63</v>
      </c>
    </row>
    <row r="3">
      <c r="A3" s="11" t="s">
        <v>64</v>
      </c>
      <c r="B3" s="12"/>
      <c r="C3" s="12"/>
      <c r="D3" s="12"/>
      <c r="E3" s="12"/>
      <c r="F3" s="11" t="b">
        <v>1</v>
      </c>
      <c r="G3" s="11" t="b">
        <v>1</v>
      </c>
      <c r="H3" s="11" t="b">
        <v>1</v>
      </c>
      <c r="I3" s="13"/>
      <c r="J3" s="13"/>
      <c r="K3" s="13"/>
      <c r="L3" s="13"/>
      <c r="M3" s="12"/>
      <c r="N3" s="14"/>
    </row>
    <row r="4">
      <c r="A4" s="5" t="str">
        <f>Prices!A3</f>
        <v>Jan 2024</v>
      </c>
      <c r="B4" s="15">
        <f>(Prices!C3-Prices!C2)/Prices!C2</f>
        <v>0.01593221801</v>
      </c>
      <c r="C4" s="15">
        <f>(Prices!D3-Prices!D2)/Prices!D2</f>
        <v>-0.02251904184</v>
      </c>
      <c r="D4" s="15">
        <f>(Prices!E3-Prices!E2)/Prices!E2</f>
        <v>-0.01422817388</v>
      </c>
      <c r="E4" s="15">
        <f>(Prices!F3-Prices!F2)/Prices!F2</f>
        <v>0.003169990754</v>
      </c>
      <c r="F4" s="5" t="b">
        <f>Prices!C3&gt;Prices!G3</f>
        <v>1</v>
      </c>
      <c r="G4" s="5" t="b">
        <f>Prices!D3&gt;Prices!H3</f>
        <v>1</v>
      </c>
      <c r="H4" s="5" t="b">
        <f>Prices!E3&gt;Prices!I3</f>
        <v>1</v>
      </c>
      <c r="I4" s="16">
        <f t="shared" ref="I4:K4" si="1">IF(F3,1/3,0)</f>
        <v>0.3333333333</v>
      </c>
      <c r="J4" s="16">
        <f t="shared" si="1"/>
        <v>0.3333333333</v>
      </c>
      <c r="K4" s="16">
        <f t="shared" si="1"/>
        <v>0.3333333333</v>
      </c>
      <c r="L4" s="16">
        <f t="shared" ref="L4:L15" si="3">1-I4-J4-K4</f>
        <v>0</v>
      </c>
      <c r="M4" s="15">
        <f t="shared" ref="M4:M15" si="4">I4*B4+J4*C4+K4*D4+L4*E4</f>
        <v>-0.006938332569</v>
      </c>
      <c r="N4" s="17">
        <f>200000*(1+M4)</f>
        <v>198612.3335</v>
      </c>
    </row>
    <row r="5">
      <c r="A5" s="5" t="str">
        <f>Prices!A4</f>
        <v>Feb 2024</v>
      </c>
      <c r="B5" s="15">
        <f>(Prices!C4-Prices!C3)/Prices!C3</f>
        <v>0.052182586</v>
      </c>
      <c r="C5" s="15">
        <f>(Prices!D4-Prices!D3)/Prices!D3</f>
        <v>-0.02247317899</v>
      </c>
      <c r="D5" s="15">
        <f>(Prices!E4-Prices!E3)/Prices!E3</f>
        <v>0.004563544707</v>
      </c>
      <c r="E5" s="15">
        <f>(Prices!F4-Prices!F3)/Prices!F3</f>
        <v>-0.003818301514</v>
      </c>
      <c r="F5" s="5" t="b">
        <f>Prices!C4&gt;Prices!G4</f>
        <v>1</v>
      </c>
      <c r="G5" s="5" t="b">
        <f>Prices!D4&gt;Prices!H4</f>
        <v>1</v>
      </c>
      <c r="H5" s="5" t="b">
        <f>Prices!E4&gt;Prices!I4</f>
        <v>1</v>
      </c>
      <c r="I5" s="16">
        <f t="shared" ref="I5:K5" si="2">IF(F4,1/3,0)</f>
        <v>0.3333333333</v>
      </c>
      <c r="J5" s="16">
        <f t="shared" si="2"/>
        <v>0.3333333333</v>
      </c>
      <c r="K5" s="16">
        <f t="shared" si="2"/>
        <v>0.3333333333</v>
      </c>
      <c r="L5" s="16">
        <f t="shared" si="3"/>
        <v>0</v>
      </c>
      <c r="M5" s="15">
        <f t="shared" si="4"/>
        <v>0.01142431724</v>
      </c>
      <c r="N5" s="17">
        <f t="shared" ref="N5:N15" si="6">N4*(1+M5)</f>
        <v>200881.3438</v>
      </c>
    </row>
    <row r="6">
      <c r="A6" s="5" t="str">
        <f>Prices!A5</f>
        <v>Mar 2024</v>
      </c>
      <c r="B6" s="15">
        <f>(Prices!C5-Prices!C4)/Prices!C4</f>
        <v>0.03271348473</v>
      </c>
      <c r="C6" s="15">
        <f>(Prices!D5-Prices!D4)/Prices!D4</f>
        <v>0.007740295749</v>
      </c>
      <c r="D6" s="15">
        <f>(Prices!E5-Prices!E4)/Prices!E4</f>
        <v>0.086683218</v>
      </c>
      <c r="E6" s="15">
        <f>(Prices!F5-Prices!F4)/Prices!F4</f>
        <v>0.003436426117</v>
      </c>
      <c r="F6" s="5" t="b">
        <f>Prices!C5&gt;Prices!G5</f>
        <v>1</v>
      </c>
      <c r="G6" s="5" t="b">
        <f>Prices!D5&gt;Prices!H5</f>
        <v>1</v>
      </c>
      <c r="H6" s="5" t="b">
        <f>Prices!E5&gt;Prices!I5</f>
        <v>1</v>
      </c>
      <c r="I6" s="16">
        <f t="shared" ref="I6:K6" si="5">IF(F5,1/3,0)</f>
        <v>0.3333333333</v>
      </c>
      <c r="J6" s="16">
        <f t="shared" si="5"/>
        <v>0.3333333333</v>
      </c>
      <c r="K6" s="16">
        <f t="shared" si="5"/>
        <v>0.3333333333</v>
      </c>
      <c r="L6" s="16">
        <f t="shared" si="3"/>
        <v>0</v>
      </c>
      <c r="M6" s="15">
        <f t="shared" si="4"/>
        <v>0.04237899949</v>
      </c>
      <c r="N6" s="17">
        <f t="shared" si="6"/>
        <v>209394.4942</v>
      </c>
    </row>
    <row r="7">
      <c r="A7" s="5" t="str">
        <f>Prices!A6</f>
        <v>Apr 2024</v>
      </c>
      <c r="B7" s="15">
        <f>(Prices!C6-Prices!C5)/Prices!C5</f>
        <v>-0.04032888056</v>
      </c>
      <c r="C7" s="15">
        <f>(Prices!D6-Prices!D5)/Prices!D5</f>
        <v>-0.06454201536</v>
      </c>
      <c r="D7" s="15">
        <f>(Prices!E6-Prices!E5)/Prices!E5</f>
        <v>0.02989500292</v>
      </c>
      <c r="E7" s="15">
        <f>(Prices!F6-Prices!F5)/Prices!F5</f>
        <v>-0.004478398314</v>
      </c>
      <c r="F7" s="5" t="b">
        <f>Prices!C6&gt;Prices!G6</f>
        <v>1</v>
      </c>
      <c r="G7" s="5" t="b">
        <f>Prices!D6&gt;Prices!H6</f>
        <v>0</v>
      </c>
      <c r="H7" s="5" t="b">
        <f>Prices!E6&gt;Prices!I6</f>
        <v>1</v>
      </c>
      <c r="I7" s="16">
        <f t="shared" ref="I7:K7" si="7">IF(F6,1/3,0)</f>
        <v>0.3333333333</v>
      </c>
      <c r="J7" s="16">
        <f t="shared" si="7"/>
        <v>0.3333333333</v>
      </c>
      <c r="K7" s="16">
        <f t="shared" si="7"/>
        <v>0.3333333333</v>
      </c>
      <c r="L7" s="16">
        <f t="shared" si="3"/>
        <v>0</v>
      </c>
      <c r="M7" s="15">
        <f t="shared" si="4"/>
        <v>-0.02499196433</v>
      </c>
      <c r="N7" s="17">
        <f t="shared" si="6"/>
        <v>204161.3144</v>
      </c>
    </row>
    <row r="8">
      <c r="A8" s="5" t="str">
        <f>Prices!A7</f>
        <v>May 2024</v>
      </c>
      <c r="B8" s="15">
        <f>(Prices!C7-Prices!C6)/Prices!C6</f>
        <v>0.05059118012</v>
      </c>
      <c r="C8" s="15">
        <f>(Prices!D7-Prices!D6)/Prices!D6</f>
        <v>0.02892156863</v>
      </c>
      <c r="D8" s="15">
        <f>(Prices!E7-Prices!E6)/Prices!E6</f>
        <v>0.01618917261</v>
      </c>
      <c r="E8" s="15">
        <f>(Prices!F7-Prices!F6)/Prices!F6</f>
        <v>0.007277057423</v>
      </c>
      <c r="F8" s="5" t="b">
        <f>Prices!C7&gt;Prices!G7</f>
        <v>1</v>
      </c>
      <c r="G8" s="5" t="b">
        <f>Prices!D7&gt;Prices!H7</f>
        <v>0</v>
      </c>
      <c r="H8" s="5" t="b">
        <f>Prices!E7&gt;Prices!I7</f>
        <v>1</v>
      </c>
      <c r="I8" s="16">
        <f t="shared" ref="I8:K8" si="8">IF(F7,1/3,0)</f>
        <v>0.3333333333</v>
      </c>
      <c r="J8" s="16">
        <f t="shared" si="8"/>
        <v>0</v>
      </c>
      <c r="K8" s="16">
        <f t="shared" si="8"/>
        <v>0.3333333333</v>
      </c>
      <c r="L8" s="16">
        <f t="shared" si="3"/>
        <v>0.3333333333</v>
      </c>
      <c r="M8" s="15">
        <f t="shared" si="4"/>
        <v>0.02468580338</v>
      </c>
      <c r="N8" s="17">
        <f t="shared" si="6"/>
        <v>209201.2005</v>
      </c>
    </row>
    <row r="9">
      <c r="A9" s="5" t="str">
        <f>Prices!A8</f>
        <v>Jun 2024</v>
      </c>
      <c r="B9" s="15">
        <f>(Prices!C8-Prices!C7)/Prices!C7</f>
        <v>0.03527360775</v>
      </c>
      <c r="C9" s="15">
        <f>(Prices!D8-Prices!D7)/Prices!D7</f>
        <v>0.01810385898</v>
      </c>
      <c r="D9" s="15">
        <f>(Prices!E8-Prices!E7)/Prices!E7</f>
        <v>-0.001346957733</v>
      </c>
      <c r="E9" s="15">
        <f>(Prices!F8-Prices!F7)/Prices!F7</f>
        <v>0.00538552476</v>
      </c>
      <c r="F9" s="5" t="b">
        <f>Prices!C8&gt;Prices!G8</f>
        <v>1</v>
      </c>
      <c r="G9" s="5" t="b">
        <f>Prices!D8&gt;Prices!H8</f>
        <v>1</v>
      </c>
      <c r="H9" s="5" t="b">
        <f>Prices!E8&gt;Prices!I8</f>
        <v>1</v>
      </c>
      <c r="I9" s="16">
        <f t="shared" ref="I9:K9" si="9">IF(F8,1/3,0)</f>
        <v>0.3333333333</v>
      </c>
      <c r="J9" s="16">
        <f t="shared" si="9"/>
        <v>0</v>
      </c>
      <c r="K9" s="16">
        <f t="shared" si="9"/>
        <v>0.3333333333</v>
      </c>
      <c r="L9" s="16">
        <f t="shared" si="3"/>
        <v>0.3333333333</v>
      </c>
      <c r="M9" s="15">
        <f t="shared" si="4"/>
        <v>0.01310405826</v>
      </c>
      <c r="N9" s="17">
        <f t="shared" si="6"/>
        <v>211942.5852</v>
      </c>
    </row>
    <row r="10">
      <c r="A10" s="5" t="str">
        <f>Prices!A9</f>
        <v>Jul 2024</v>
      </c>
      <c r="B10" s="15">
        <f>(Prices!C9-Prices!C8)/Prices!C8</f>
        <v>0.01210567676</v>
      </c>
      <c r="C10" s="15">
        <f>(Prices!D9-Prices!D8)/Prices!D8</f>
        <v>0.0363827796</v>
      </c>
      <c r="D10" s="15">
        <f>(Prices!E9-Prices!E8)/Prices!E8</f>
        <v>0.05367192224</v>
      </c>
      <c r="E10" s="15">
        <f>(Prices!F9-Prices!F8)/Prices!F8</f>
        <v>0.01175855762</v>
      </c>
      <c r="F10" s="5" t="b">
        <f>Prices!C9&gt;Prices!G9</f>
        <v>1</v>
      </c>
      <c r="G10" s="5" t="b">
        <f>Prices!D9&gt;Prices!H9</f>
        <v>1</v>
      </c>
      <c r="H10" s="5" t="b">
        <f>Prices!E9&gt;Prices!I9</f>
        <v>1</v>
      </c>
      <c r="I10" s="16">
        <f t="shared" ref="I10:K10" si="10">IF(F9,1/3,0)</f>
        <v>0.3333333333</v>
      </c>
      <c r="J10" s="16">
        <f t="shared" si="10"/>
        <v>0.3333333333</v>
      </c>
      <c r="K10" s="16">
        <f t="shared" si="10"/>
        <v>0.3333333333</v>
      </c>
      <c r="L10" s="16">
        <f t="shared" si="3"/>
        <v>0</v>
      </c>
      <c r="M10" s="15">
        <f t="shared" si="4"/>
        <v>0.03405345953</v>
      </c>
      <c r="N10" s="17">
        <f t="shared" si="6"/>
        <v>219159.9635</v>
      </c>
    </row>
    <row r="11">
      <c r="A11" s="5" t="str">
        <f>Prices!A10</f>
        <v>Aug 2024</v>
      </c>
      <c r="B11" s="15">
        <f>(Prices!C10-Prices!C9)/Prices!C9</f>
        <v>0.02336716396</v>
      </c>
      <c r="C11" s="15">
        <f>(Prices!D10-Prices!D9)/Prices!D9</f>
        <v>0.02110847725</v>
      </c>
      <c r="D11" s="15">
        <f>(Prices!E10-Prices!E9)/Prices!E9</f>
        <v>0.02092253366</v>
      </c>
      <c r="E11" s="15">
        <f>(Prices!F10-Prices!F9)/Prices!F9</f>
        <v>0.008910123967</v>
      </c>
      <c r="F11" s="5" t="b">
        <f>Prices!C10&gt;Prices!G10</f>
        <v>1</v>
      </c>
      <c r="G11" s="5" t="b">
        <f>Prices!D10&gt;Prices!H10</f>
        <v>1</v>
      </c>
      <c r="H11" s="5" t="b">
        <f>Prices!E10&gt;Prices!I10</f>
        <v>1</v>
      </c>
      <c r="I11" s="16">
        <f t="shared" ref="I11:K11" si="11">IF(F10,1/3,0)</f>
        <v>0.3333333333</v>
      </c>
      <c r="J11" s="16">
        <f t="shared" si="11"/>
        <v>0.3333333333</v>
      </c>
      <c r="K11" s="16">
        <f t="shared" si="11"/>
        <v>0.3333333333</v>
      </c>
      <c r="L11" s="16">
        <f t="shared" si="3"/>
        <v>0</v>
      </c>
      <c r="M11" s="15">
        <f t="shared" si="4"/>
        <v>0.02179939162</v>
      </c>
      <c r="N11" s="17">
        <f t="shared" si="6"/>
        <v>223937.5173</v>
      </c>
    </row>
    <row r="12">
      <c r="A12" s="5" t="str">
        <f>Prices!A11</f>
        <v>Sep 2024</v>
      </c>
      <c r="B12" s="15">
        <f>(Prices!C11-Prices!C10)/Prices!C10</f>
        <v>0.02100908648</v>
      </c>
      <c r="C12" s="15">
        <f>(Prices!D11-Prices!D10)/Prices!D10</f>
        <v>0.02000884369</v>
      </c>
      <c r="D12" s="15">
        <f>(Prices!E11-Prices!E10)/Prices!E10</f>
        <v>0.05088849496</v>
      </c>
      <c r="E12" s="15">
        <f>(Prices!F11-Prices!F10)/Prices!F10</f>
        <v>0.00780750032</v>
      </c>
      <c r="F12" s="5" t="b">
        <f>Prices!C11&gt;Prices!G11</f>
        <v>1</v>
      </c>
      <c r="G12" s="5" t="b">
        <f>Prices!D11&gt;Prices!H11</f>
        <v>1</v>
      </c>
      <c r="H12" s="5" t="b">
        <f>Prices!E11&gt;Prices!I11</f>
        <v>1</v>
      </c>
      <c r="I12" s="16">
        <f t="shared" ref="I12:K12" si="12">IF(F11,1/3,0)</f>
        <v>0.3333333333</v>
      </c>
      <c r="J12" s="16">
        <f t="shared" si="12"/>
        <v>0.3333333333</v>
      </c>
      <c r="K12" s="16">
        <f t="shared" si="12"/>
        <v>0.3333333333</v>
      </c>
      <c r="L12" s="16">
        <f t="shared" si="3"/>
        <v>0</v>
      </c>
      <c r="M12" s="15">
        <f t="shared" si="4"/>
        <v>0.03063547504</v>
      </c>
      <c r="N12" s="17">
        <f t="shared" si="6"/>
        <v>230797.9496</v>
      </c>
    </row>
    <row r="13">
      <c r="A13" s="5" t="str">
        <f>Prices!A12</f>
        <v>Oct 2024</v>
      </c>
      <c r="B13" s="15">
        <f>(Prices!C12-Prices!C11)/Prices!C11</f>
        <v>-0.008934890304</v>
      </c>
      <c r="C13" s="15">
        <f>(Prices!D12-Prices!D11)/Prices!D11</f>
        <v>-0.05462230411</v>
      </c>
      <c r="D13" s="15">
        <f>(Prices!E12-Prices!E11)/Prices!E11</f>
        <v>0.04299349955</v>
      </c>
      <c r="E13" s="15">
        <f>(Prices!F12-Prices!F11)/Prices!F11</f>
        <v>-0.006223012446</v>
      </c>
      <c r="F13" s="5" t="b">
        <f>Prices!C12&gt;Prices!G12</f>
        <v>1</v>
      </c>
      <c r="G13" s="5" t="b">
        <f>Prices!D12&gt;Prices!H12</f>
        <v>0</v>
      </c>
      <c r="H13" s="5" t="b">
        <f>Prices!E12&gt;Prices!I12</f>
        <v>1</v>
      </c>
      <c r="I13" s="16">
        <f t="shared" ref="I13:K13" si="13">IF(F12,1/3,0)</f>
        <v>0.3333333333</v>
      </c>
      <c r="J13" s="16">
        <f t="shared" si="13"/>
        <v>0.3333333333</v>
      </c>
      <c r="K13" s="16">
        <f t="shared" si="13"/>
        <v>0.3333333333</v>
      </c>
      <c r="L13" s="16">
        <f t="shared" si="3"/>
        <v>0</v>
      </c>
      <c r="M13" s="15">
        <f t="shared" si="4"/>
        <v>-0.006854564955</v>
      </c>
      <c r="N13" s="17">
        <f t="shared" si="6"/>
        <v>229215.93</v>
      </c>
    </row>
    <row r="14">
      <c r="A14" s="5" t="str">
        <f>Prices!A13</f>
        <v>Nov 2024</v>
      </c>
      <c r="B14" s="15">
        <f>(Prices!C13-Prices!C12)/Prices!C12</f>
        <v>0.05964473802</v>
      </c>
      <c r="C14" s="15">
        <f>(Prices!D13-Prices!D12)/Prices!D12</f>
        <v>0.01994726585</v>
      </c>
      <c r="D14" s="15">
        <f>(Prices!E13-Prices!E12)/Prices!E12</f>
        <v>-0.03124137115</v>
      </c>
      <c r="E14" s="15">
        <f>(Prices!F13-Prices!F12)/Prices!F12</f>
        <v>0.002939297125</v>
      </c>
      <c r="F14" s="5" t="b">
        <f>Prices!C13&gt;Prices!G13</f>
        <v>1</v>
      </c>
      <c r="G14" s="5" t="b">
        <f>Prices!D13&gt;Prices!H13</f>
        <v>1</v>
      </c>
      <c r="H14" s="5" t="b">
        <f>Prices!E13&gt;Prices!I13</f>
        <v>1</v>
      </c>
      <c r="I14" s="16">
        <f t="shared" ref="I14:K14" si="14">IF(F13,1/3,0)</f>
        <v>0.3333333333</v>
      </c>
      <c r="J14" s="16">
        <f t="shared" si="14"/>
        <v>0</v>
      </c>
      <c r="K14" s="16">
        <f t="shared" si="14"/>
        <v>0.3333333333</v>
      </c>
      <c r="L14" s="16">
        <f t="shared" si="3"/>
        <v>0.3333333333</v>
      </c>
      <c r="M14" s="15">
        <f t="shared" si="4"/>
        <v>0.01044755466</v>
      </c>
      <c r="N14" s="17">
        <f t="shared" si="6"/>
        <v>231610.676</v>
      </c>
    </row>
    <row r="15">
      <c r="A15" s="5" t="str">
        <f>Prices!A14</f>
        <v>Dec 2024</v>
      </c>
      <c r="B15" s="15">
        <f>(Prices!C14-Prices!C13)/Prices!C13</f>
        <v>-0.02405822495</v>
      </c>
      <c r="C15" s="15">
        <f>(Prices!D14-Prices!D13)/Prices!D13</f>
        <v>-0.06384174441</v>
      </c>
      <c r="D15" s="15">
        <f>(Prices!E14-Prices!E13)/Prices!E13</f>
        <v>-0.01408852152</v>
      </c>
      <c r="E15" s="15">
        <f>(Prices!F14-Prices!F13)/Prices!F13</f>
        <v>0.00254841998</v>
      </c>
      <c r="F15" s="5" t="b">
        <f>Prices!C14&gt;Prices!G14</f>
        <v>1</v>
      </c>
      <c r="G15" s="5" t="b">
        <f>Prices!D14&gt;Prices!H14</f>
        <v>0</v>
      </c>
      <c r="H15" s="5" t="b">
        <f>Prices!E14&gt;Prices!I14</f>
        <v>1</v>
      </c>
      <c r="I15" s="16">
        <f t="shared" ref="I15:K15" si="15">IF(F14,1/3,0)</f>
        <v>0.3333333333</v>
      </c>
      <c r="J15" s="16">
        <f t="shared" si="15"/>
        <v>0.3333333333</v>
      </c>
      <c r="K15" s="16">
        <f t="shared" si="15"/>
        <v>0.3333333333</v>
      </c>
      <c r="L15" s="16">
        <f t="shared" si="3"/>
        <v>0</v>
      </c>
      <c r="M15" s="15">
        <f t="shared" si="4"/>
        <v>-0.03399616363</v>
      </c>
      <c r="N15" s="17">
        <f t="shared" si="6"/>
        <v>223736.8015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3" width="18.0"/>
    <col customWidth="1" min="4" max="5" width="16.0"/>
    <col customWidth="1" min="6" max="19" width="8.71"/>
  </cols>
  <sheetData>
    <row r="1">
      <c r="A1" s="4" t="s">
        <v>20</v>
      </c>
      <c r="B1" s="4" t="s">
        <v>65</v>
      </c>
      <c r="C1" s="4" t="s">
        <v>66</v>
      </c>
      <c r="D1" s="4" t="s">
        <v>67</v>
      </c>
      <c r="E1" s="4" t="s">
        <v>68</v>
      </c>
    </row>
    <row r="2">
      <c r="A2" s="5" t="str">
        <f>Strategy!A4</f>
        <v>Jan 2024</v>
      </c>
      <c r="B2" s="17">
        <f>Strategy!N4</f>
        <v>198612.3335</v>
      </c>
      <c r="C2" s="18">
        <v>199030.53</v>
      </c>
      <c r="D2" s="17">
        <f t="shared" ref="D2:D13" si="1">IF(C2="","",B2-C2)</f>
        <v>-418.1965138</v>
      </c>
      <c r="E2" s="19">
        <f t="shared" ref="E2:E13" si="2">IF(C2="","",D2/C2)</f>
        <v>-0.002101167664</v>
      </c>
    </row>
    <row r="3">
      <c r="A3" s="5" t="str">
        <f>Strategy!A5</f>
        <v>Feb 2024</v>
      </c>
      <c r="B3" s="17">
        <f>Strategy!N5</f>
        <v>200881.3438</v>
      </c>
      <c r="C3" s="18">
        <v>201243.14</v>
      </c>
      <c r="D3" s="17">
        <f t="shared" si="1"/>
        <v>-361.7962089</v>
      </c>
      <c r="E3" s="19">
        <f t="shared" si="2"/>
        <v>-0.001797806419</v>
      </c>
    </row>
    <row r="4">
      <c r="A4" s="5" t="str">
        <f>Strategy!A6</f>
        <v>Mar 2024</v>
      </c>
      <c r="B4" s="17">
        <f>Strategy!N6</f>
        <v>209394.4942</v>
      </c>
      <c r="C4" s="18">
        <v>209724.27</v>
      </c>
      <c r="D4" s="17">
        <f t="shared" si="1"/>
        <v>-329.775842</v>
      </c>
      <c r="E4" s="19">
        <f t="shared" si="2"/>
        <v>-0.001572425747</v>
      </c>
    </row>
    <row r="5">
      <c r="A5" s="5" t="str">
        <f>Strategy!A7</f>
        <v>Apr 2024</v>
      </c>
      <c r="B5" s="17">
        <f>Strategy!N7</f>
        <v>204161.3144</v>
      </c>
      <c r="C5" s="18">
        <v>204425.36</v>
      </c>
      <c r="D5" s="17">
        <f t="shared" si="1"/>
        <v>-264.0455717</v>
      </c>
      <c r="E5" s="19">
        <f t="shared" si="2"/>
        <v>-0.001291647825</v>
      </c>
    </row>
    <row r="6">
      <c r="A6" s="5" t="str">
        <f>Strategy!A8</f>
        <v>May 2024</v>
      </c>
      <c r="B6" s="17">
        <f>Strategy!N8</f>
        <v>209201.2005</v>
      </c>
      <c r="C6" s="18">
        <v>209483.58</v>
      </c>
      <c r="D6" s="17">
        <f t="shared" si="1"/>
        <v>-282.3795052</v>
      </c>
      <c r="E6" s="19">
        <f t="shared" si="2"/>
        <v>-0.001347979184</v>
      </c>
    </row>
    <row r="7">
      <c r="A7" s="5" t="str">
        <f>Strategy!A9</f>
        <v>Jun 2024</v>
      </c>
      <c r="B7" s="17">
        <f>Strategy!N9</f>
        <v>211942.5852</v>
      </c>
      <c r="C7" s="18">
        <v>212240.21</v>
      </c>
      <c r="D7" s="17">
        <f t="shared" si="1"/>
        <v>-297.6247862</v>
      </c>
      <c r="E7" s="19">
        <f t="shared" si="2"/>
        <v>-0.001402301601</v>
      </c>
    </row>
    <row r="8">
      <c r="A8" s="5" t="str">
        <f>Strategy!A10</f>
        <v>Jul 2024</v>
      </c>
      <c r="B8" s="17">
        <f>Strategy!N10</f>
        <v>219159.9635</v>
      </c>
      <c r="C8" s="18">
        <v>220746.35</v>
      </c>
      <c r="D8" s="17">
        <f t="shared" si="1"/>
        <v>-1586.386538</v>
      </c>
      <c r="E8" s="19">
        <f t="shared" si="2"/>
        <v>-0.007186467807</v>
      </c>
    </row>
    <row r="9">
      <c r="A9" s="5" t="str">
        <f>Strategy!A11</f>
        <v>Aug 2024</v>
      </c>
      <c r="B9" s="17">
        <f>Strategy!N11</f>
        <v>223937.5173</v>
      </c>
      <c r="C9" s="18">
        <v>225753.15</v>
      </c>
      <c r="D9" s="17">
        <f t="shared" si="1"/>
        <v>-1815.632666</v>
      </c>
      <c r="E9" s="19">
        <f t="shared" si="2"/>
        <v>-0.008042557396</v>
      </c>
    </row>
    <row r="10">
      <c r="A10" s="5" t="str">
        <f>Strategy!A12</f>
        <v>Sep 2024</v>
      </c>
      <c r="B10" s="17">
        <f>Strategy!N12</f>
        <v>230797.9496</v>
      </c>
      <c r="C10" s="18">
        <v>232735.35</v>
      </c>
      <c r="D10" s="17">
        <f t="shared" si="1"/>
        <v>-1937.400443</v>
      </c>
      <c r="E10" s="19">
        <f t="shared" si="2"/>
        <v>-0.00832447861</v>
      </c>
    </row>
    <row r="11">
      <c r="A11" s="5" t="str">
        <f>Strategy!A13</f>
        <v>Oct 2024</v>
      </c>
      <c r="B11" s="17">
        <f>Strategy!N13</f>
        <v>229215.93</v>
      </c>
      <c r="C11" s="18">
        <v>231024.19</v>
      </c>
      <c r="D11" s="17">
        <f t="shared" si="1"/>
        <v>-1808.25998</v>
      </c>
      <c r="E11" s="19">
        <f t="shared" si="2"/>
        <v>-0.007827145632</v>
      </c>
    </row>
    <row r="12">
      <c r="A12" s="5" t="str">
        <f>Strategy!A14</f>
        <v>Nov 2024</v>
      </c>
      <c r="B12" s="17">
        <f>Strategy!N14</f>
        <v>231610.676</v>
      </c>
      <c r="C12" s="18">
        <v>233394.83</v>
      </c>
      <c r="D12" s="17">
        <f t="shared" si="1"/>
        <v>-1784.154021</v>
      </c>
      <c r="E12" s="19">
        <f t="shared" si="2"/>
        <v>-0.007644359649</v>
      </c>
    </row>
    <row r="13">
      <c r="A13" s="5" t="str">
        <f>Strategy!A15</f>
        <v>Dec 2024</v>
      </c>
      <c r="B13" s="17">
        <f>Strategy!N15</f>
        <v>223736.8015</v>
      </c>
      <c r="C13" s="18">
        <v>225268.15</v>
      </c>
      <c r="D13" s="17">
        <f t="shared" si="1"/>
        <v>-1531.348459</v>
      </c>
      <c r="E13" s="19">
        <f t="shared" si="2"/>
        <v>-0.006797891574</v>
      </c>
    </row>
    <row r="15">
      <c r="A15" s="20" t="s">
        <v>69</v>
      </c>
      <c r="E15" s="21">
        <f t="array" ref="E15">IF(COUNT(E2:E13)=0,"",MAX(ABS(E2:E13)))</f>
        <v>0.00832447861</v>
      </c>
    </row>
    <row r="16">
      <c r="A16" s="20" t="s">
        <v>70</v>
      </c>
      <c r="E16" s="22" t="str">
        <f>IF(E15="","",IF(E15&lt;0.01,"PASS","FAIL"))</f>
        <v>PASS</v>
      </c>
    </row>
    <row r="17">
      <c r="A17" s="10"/>
    </row>
    <row r="18">
      <c r="A18" s="10" t="s">
        <v>71</v>
      </c>
    </row>
    <row r="19">
      <c r="A19" s="10"/>
    </row>
    <row r="20">
      <c r="A20" s="10"/>
    </row>
    <row r="21" ht="15.75" customHeight="1">
      <c r="A21" s="10" t="s">
        <v>72</v>
      </c>
    </row>
    <row r="22" ht="15.75" customHeight="1">
      <c r="A22" s="10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2026-02-17T03:19:24Z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